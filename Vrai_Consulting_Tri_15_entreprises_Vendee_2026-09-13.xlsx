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0eb972ef3b4f17" /></Relationships>
</file>

<file path=xl/workbook.xml><?xml version="1.0" encoding="utf-8"?>
<x:workbook xmlns:x="http://schemas.openxmlformats.org/spreadsheetml/2006/main">
  <x:sheets>
    <x:sheet xmlns:r="http://schemas.openxmlformats.org/officeDocument/2006/relationships" name="Synthèse" sheetId="1" r:id="R29c3a2cfcba74099"/>
    <x:sheet xmlns:r="http://schemas.openxmlformats.org/officeDocument/2006/relationships" name="Tri entreprises" sheetId="2" r:id="R81d35a4dd3c3481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20"/>
      <x:color rgb="FFFFFFFF"/>
      <x:name val="Carlito"/>
    </x:font>
    <x:font>
      <x:sz val="11"/>
      <x:color rgb="FF596C77"/>
      <x:name val="Carlito"/>
    </x:font>
    <x:font>
      <x:b/>
      <x:sz val="11"/>
      <x:name val="Carlito"/>
    </x:font>
    <x:font>
      <x:b/>
      <x:sz val="28"/>
      <x:color rgb="FF0F6B66"/>
      <x:name val="Carlito"/>
    </x:font>
    <x:font>
      <x:b/>
      <x:sz val="10"/>
      <x:color rgb="FFFFFFFF"/>
      <x:name val="Carlito"/>
    </x:font>
    <x:font>
      <x:b/>
      <x:sz val="18"/>
      <x:color rgb="FFFFFFFF"/>
      <x:name val="Carlito"/>
    </x:font>
    <x:font>
      <x:sz val="10"/>
      <x:name val="Carlito"/>
    </x:font>
    <x:font>
      <x:sz val="10"/>
      <x:color rgb="FF0563A0"/>
      <x:name val="Carlito"/>
    </x:font>
  </x:fonts>
  <x:fills count="6">
    <x:fill>
      <x:patternFill patternType="none"/>
    </x:fill>
    <x:fill>
      <x:patternFill patternType="gray125"/>
    </x:fill>
    <x:fill>
      <x:patternFill patternType="solid">
        <x:fgColor rgb="FF193442"/>
      </x:patternFill>
    </x:fill>
    <x:fill>
      <x:patternFill patternType="solid">
        <x:fgColor rgb="FFEAF1F3"/>
      </x:patternFill>
    </x:fill>
    <x:fill>
      <x:patternFill patternType="solid">
        <x:fgColor rgb="FFF4F7F8"/>
      </x:patternFill>
    </x:fill>
    <x:fill>
      <x:patternFill patternType="solid">
        <x:fgColor rgb="FFF0F5F6"/>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5" fillId="2" borderId="0" xfId="0" applyNumberFormat="1" applyFont="1" applyFill="1" applyBorder="1"/>
    <x:xf numFmtId="0" fontId="5" fillId="2"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6" fillId="2" borderId="1" xfId="0" applyNumberFormat="1" applyFont="1" applyFill="1" applyBorder="1"/>
    <x:xf numFmtId="0" fontId="6" fillId="2" borderId="1" xfId="0" applyNumberFormat="1" applyFont="1" applyFill="1" applyBorder="1" applyAlignment="1">
      <x:alignment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0" borderId="0" xfId="0" applyNumberFormat="1" applyFont="1" applyFill="1" applyBorder="1" applyAlignment="1">
      <x:alignment vertical="top" wrapText="1"/>
    </x:xf>
  </x:cellXfs>
  <x:cellStyles count="1">
    <x:cellStyle name="Normal" xfId="0"/>
  </x:cellStyles>
  <x:dxfs count="1">
    <x:dxf>
      <x:font>
        <x:b/>
        <x:color rgb="FF8051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014818505b4355" /><Relationship Type="http://schemas.openxmlformats.org/officeDocument/2006/relationships/theme" Target="/xl/theme/theme1.xml" Id="R8307f00bc5954489" /><Relationship Type="http://schemas.openxmlformats.org/officeDocument/2006/relationships/sharedStrings" Target="/xl/sharedStrings.xml" Id="R74dc01355e07477d" /><Relationship Type="http://schemas.openxmlformats.org/officeDocument/2006/relationships/worksheet" Target="/xl/worksheets/sheet1.xml" Id="R29c3a2cfcba74099" /><Relationship Type="http://schemas.openxmlformats.org/officeDocument/2006/relationships/worksheet" Target="/xl/worksheets/sheet2.xml" Id="R81d35a4dd3c3481d" /></Relationships>
</file>

<file path=xl/tables/table1.xml><?xml version="1.0" encoding="utf-8"?>
<x:table xmlns:x="http://schemas.openxmlformats.org/spreadsheetml/2006/main" id="1" name="ProspectsVendee" displayName="ProspectsVendee" ref="A5:L20" headerRowCount="1" totalsRowCount="0" totalsRowShown="0">
  <x:tableColumns count="12">
    <x:tableColumn id="1" name="N°"/>
    <x:tableColumn id="2" name="Entreprise"/>
    <x:tableColumn id="3" name="Commune"/>
    <x:tableColumn id="4" name="Décision"/>
    <x:tableColumn id="5" name="Signal et date de publication"/>
    <x:tableColumn id="6" name="Constat documentaire sur le site"/>
    <x:tableColumn id="7" name="Frein et inconnues"/>
    <x:tableColumn id="8" name="Prestataire / refonte"/>
    <x:tableColumn id="9" name="Prochaine action"/>
    <x:tableColumn id="10" name="Source de l'événement"/>
    <x:tableColumn id="11" name="Site consulté / officiel"/>
    <x:tableColumn id="12" name="Source complémentai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6d761ae38f46fa"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5" t="str">
        <x:v>VRAI CONSULTING | Prospection refonte</x:v>
      </x:c>
      <x:c r="B1" s="5"/>
      <x:c r="C1" s="5"/>
      <x:c r="D1" s="5"/>
      <x:c r="E1" s="5"/>
      <x:c r="F1" s="5"/>
      <x:c r="G1" s="5"/>
      <x:c r="H1" s="5"/>
    </x:row>
    <x:row r="2">
      <x:c r="A2" s="5"/>
      <x:c r="B2" s="5"/>
      <x:c r="C2" s="5"/>
      <x:c r="D2" s="5"/>
      <x:c r="E2" s="5"/>
      <x:c r="F2" s="5"/>
      <x:c r="G2" s="5"/>
      <x:c r="H2" s="5"/>
    </x:row>
    <x:row r="3" ht="24" customHeight="1">
      <x:c r="A3" s="9" t="str">
        <x:v>Premier tri documentaire · Ouest vendéen · Recherche du 13/09/2026</x:v>
      </x:c>
      <x:c r="B3" s="9"/>
      <x:c r="C3" s="9"/>
      <x:c r="D3" s="9"/>
      <x:c r="E3" s="9"/>
      <x:c r="F3" s="9"/>
      <x:c r="G3" s="9"/>
      <x:c r="H3" s="9"/>
    </x:row>
    <x:row r="4">
      <x:c r="A4" s="2"/>
      <x:c r="B4" s="2"/>
      <x:c r="C4" s="2"/>
      <x:c r="D4" s="2"/>
      <x:c r="E4" s="2"/>
      <x:c r="F4" s="2"/>
      <x:c r="G4" s="2"/>
      <x:c r="H4" s="2"/>
    </x:row>
    <x:row r="5" ht="32" customHeight="1">
      <x:c r="A5" s="13" t="str">
        <x:v>Entreprises examinées</x:v>
      </x:c>
      <x:c r="B5" s="13"/>
      <x:c r="C5" s="2"/>
      <x:c r="D5" s="13" t="str">
        <x:v>Échange exploratoire</x:v>
      </x:c>
      <x:c r="E5" s="13"/>
      <x:c r="F5" s="2"/>
      <x:c r="G5" s="13" t="str">
        <x:v>Non prioritaires</x:v>
      </x:c>
      <x:c r="H5" s="13"/>
    </x:row>
    <x:row r="6">
      <x:c r="A6" s="18" t="n">
        <x:f>COUNTA('Tri entreprises'!B6:B20)</x:f>
        <x:v>15</x:v>
      </x:c>
      <x:c r="B6" s="18"/>
      <x:c r="C6" s="2"/>
      <x:c r="D6" s="18" t="n">
        <x:f>COUNTIF('Tri entreprises'!D6:D20,"Échange exploratoire")</x:f>
        <x:v>1</x:v>
      </x:c>
      <x:c r="E6" s="18"/>
      <x:c r="F6" s="2"/>
      <x:c r="G6" s="18" t="n">
        <x:f>COUNTIF('Tri entreprises'!D6:D20,"Non prioritaire")</x:f>
        <x:v>14</x:v>
      </x:c>
      <x:c r="H6" s="18"/>
    </x:row>
    <x:row r="7">
      <x:c r="A7" s="18"/>
      <x:c r="B7" s="18"/>
      <x:c r="C7" s="2"/>
      <x:c r="D7" s="18"/>
      <x:c r="E7" s="18"/>
      <x:c r="F7" s="2"/>
      <x:c r="G7" s="18"/>
      <x:c r="H7" s="18"/>
    </x:row>
    <x:row r="8">
      <x:c r="A8" s="2"/>
      <x:c r="B8" s="2"/>
      <x:c r="C8" s="2"/>
      <x:c r="D8" s="2"/>
      <x:c r="E8" s="2"/>
      <x:c r="F8" s="2"/>
      <x:c r="G8" s="2"/>
      <x:c r="H8" s="2"/>
    </x:row>
    <x:row r="9" ht="21" customHeight="1">
      <x:c r="A9" s="21" t="str">
        <x:v>DÉCISION</x:v>
      </x:c>
      <x:c r="B9" s="21"/>
      <x:c r="C9" s="21"/>
      <x:c r="D9" s="21"/>
      <x:c r="E9" s="21"/>
      <x:c r="F9" s="21"/>
      <x:c r="G9" s="21"/>
      <x:c r="H9" s="21"/>
    </x:row>
    <x:row r="10" ht="24" customHeight="1">
      <x:c r="A10" s="25" t="str">
        <x:v>Une seule entreprise mérite à ce stade une conversation exploratoire : la Résidence L'Yon d'Or. Aucun besoin de refonte ni budget n'est confirmé.</x:v>
      </x:c>
      <x:c r="B10" s="25"/>
      <x:c r="C10" s="25"/>
      <x:c r="D10" s="25"/>
      <x:c r="E10" s="25"/>
      <x:c r="F10" s="25"/>
      <x:c r="G10" s="25"/>
      <x:c r="H10" s="25"/>
    </x:row>
    <x:row r="11" ht="24" customHeight="1">
      <x:c r="A11" s="25"/>
      <x:c r="B11" s="25"/>
      <x:c r="C11" s="25"/>
      <x:c r="D11" s="25"/>
      <x:c r="E11" s="25"/>
      <x:c r="F11" s="25"/>
      <x:c r="G11" s="25"/>
      <x:c r="H11" s="25"/>
    </x:row>
    <x:row r="12" ht="21" customHeight="1">
      <x:c r="A12" s="21" t="str">
        <x:v>CE QUI JUSTIFIE LA QUESTION</x:v>
      </x:c>
      <x:c r="B12" s="21"/>
      <x:c r="C12" s="21"/>
      <x:c r="D12" s="21"/>
      <x:c r="E12" s="21"/>
      <x:c r="F12" s="21"/>
      <x:c r="G12" s="21"/>
      <x:c r="H12" s="21"/>
    </x:row>
    <x:row r="13" ht="24" customHeight="1">
      <x:c r="A13" s="25" t="str">
        <x:v>Une reprise a été présentée en mai 2025 et des contenus liés aux restrictions Covid restent mis en avant à l'accueil. Cela peut justifier une mise à jour, pas nécessairement une refonte.</x:v>
      </x:c>
      <x:c r="B13" s="25"/>
      <x:c r="C13" s="25"/>
      <x:c r="D13" s="25"/>
      <x:c r="E13" s="25"/>
      <x:c r="F13" s="25"/>
      <x:c r="G13" s="25"/>
      <x:c r="H13" s="25"/>
    </x:row>
    <x:row r="14" ht="24" customHeight="1">
      <x:c r="A14" s="25"/>
      <x:c r="B14" s="25"/>
      <x:c r="C14" s="25"/>
      <x:c r="D14" s="25"/>
      <x:c r="E14" s="25"/>
      <x:c r="F14" s="25"/>
      <x:c r="G14" s="25"/>
      <x:c r="H14" s="25"/>
    </x:row>
    <x:row r="15" ht="21" customHeight="1">
      <x:c r="A15" s="21" t="str">
        <x:v>QUESTION À POSER</x:v>
      </x:c>
      <x:c r="B15" s="21"/>
      <x:c r="C15" s="21"/>
      <x:c r="D15" s="21"/>
      <x:c r="E15" s="21"/>
      <x:c r="F15" s="21"/>
      <x:c r="G15" s="21"/>
      <x:c r="H15" s="21"/>
    </x:row>
    <x:row r="16" ht="24" customHeight="1">
      <x:c r="A16" s="25" t="str">
        <x:v>« Depuis la reprise, souhaitez-vous faire évoluer la présentation de la résidence et les demandes de visites sur le site, ou est-ce déjà traité avec votre prestataire ? »</x:v>
      </x:c>
      <x:c r="B16" s="25"/>
      <x:c r="C16" s="25"/>
      <x:c r="D16" s="25"/>
      <x:c r="E16" s="25"/>
      <x:c r="F16" s="25"/>
      <x:c r="G16" s="25"/>
      <x:c r="H16" s="25"/>
    </x:row>
    <x:row r="17" ht="24" customHeight="1">
      <x:c r="A17" s="25"/>
      <x:c r="B17" s="25"/>
      <x:c r="C17" s="25"/>
      <x:c r="D17" s="25"/>
      <x:c r="E17" s="25"/>
      <x:c r="F17" s="25"/>
      <x:c r="G17" s="25"/>
      <x:c r="H17" s="25"/>
    </x:row>
    <x:row r="18" ht="21" customHeight="1">
      <x:c r="A18" s="21" t="str">
        <x:v>COORDONNÉES PUBLIQUES</x:v>
      </x:c>
      <x:c r="B18" s="21"/>
      <x:c r="C18" s="21"/>
      <x:c r="D18" s="21"/>
      <x:c r="E18" s="21"/>
      <x:c r="F18" s="21"/>
      <x:c r="G18" s="21"/>
      <x:c r="H18" s="21"/>
    </x:row>
    <x:row r="19" ht="24" customHeight="1">
      <x:c r="A19" s="25" t="str">
        <x:v>Résidence L'Yon d'Or · 43 boulevard des États-Unis, La Roche-sur-Yon · 02 51 62 19 32. Thomas You est présenté comme repreneur. Aucun contact effectué.</x:v>
      </x:c>
      <x:c r="B19" s="25"/>
      <x:c r="C19" s="25"/>
      <x:c r="D19" s="25"/>
      <x:c r="E19" s="25"/>
      <x:c r="F19" s="25"/>
      <x:c r="G19" s="25"/>
      <x:c r="H19" s="25"/>
    </x:row>
    <x:row r="20" ht="24" customHeight="1">
      <x:c r="A20" s="25"/>
      <x:c r="B20" s="25"/>
      <x:c r="C20" s="25"/>
      <x:c r="D20" s="25"/>
      <x:c r="E20" s="25"/>
      <x:c r="F20" s="25"/>
      <x:c r="G20" s="25"/>
      <x:c r="H20" s="25"/>
    </x:row>
    <x:row r="21" ht="21" customHeight="1">
      <x:c r="A21" s="21" t="str">
        <x:v>LIMITES DE CE TRI</x:v>
      </x:c>
      <x:c r="B21" s="21"/>
      <x:c r="C21" s="21"/>
      <x:c r="D21" s="21"/>
      <x:c r="E21" s="21"/>
      <x:c r="F21" s="21"/>
      <x:c r="G21" s="21"/>
      <x:c r="H21" s="21"/>
    </x:row>
    <x:row r="22" ht="24" customHeight="1">
      <x:c r="A22" s="25" t="str">
        <x:v>Lecture d'annonces et de contenus publics, pas un audit visuel ou technique complet. Rendu mobile et fonctionnement des formulaires non validés. Archives non exploitables pour dater la refonte de L'Yon d'Or. Certaines pages sont issues de l'index de recherche. Les dates d'articles ne sont pas les dates juridiques des reprises. Le rayon exact de 35 km n'a pas été calculé entreprise par entreprise.</x:v>
      </x:c>
      <x:c r="B22" s="25"/>
      <x:c r="C22" s="25"/>
      <x:c r="D22" s="25"/>
      <x:c r="E22" s="25"/>
      <x:c r="F22" s="25"/>
      <x:c r="G22" s="25"/>
      <x:c r="H22" s="25"/>
    </x:row>
    <x:row r="23" ht="24" customHeight="1">
      <x:c r="A23" s="25"/>
      <x:c r="B23" s="25"/>
      <x:c r="C23" s="25"/>
      <x:c r="D23" s="25"/>
      <x:c r="E23" s="25"/>
      <x:c r="F23" s="25"/>
      <x:c r="G23" s="25"/>
      <x:c r="H23" s="25"/>
    </x:row>
    <x:row r="24" ht="24" customHeight="1">
      <x:c r="A24" s="25"/>
      <x:c r="B24" s="25"/>
      <x:c r="C24" s="25"/>
      <x:c r="D24" s="25"/>
      <x:c r="E24" s="25"/>
      <x:c r="F24" s="25"/>
      <x:c r="G24" s="25"/>
      <x:c r="H24" s="25"/>
    </x:row>
    <x:row r="25" ht="21" customHeight="1">
      <x:c r="A25" s="21" t="str">
        <x:v>RÈGLE DE DÉCISION</x:v>
      </x:c>
      <x:c r="B25" s="21"/>
      <x:c r="C25" s="21"/>
      <x:c r="D25" s="21"/>
      <x:c r="E25" s="21"/>
      <x:c r="F25" s="21"/>
      <x:c r="G25" s="21"/>
      <x:c r="H25" s="21"/>
    </x:row>
    <x:row r="26" ht="24" customHeight="1">
      <x:c r="A26" s="25" t="str">
        <x:v>Pas de maquette gratuite avant un intérêt exprimé. Un site signé par une agence ne prouve ni un paiement récent ni une satisfaction actuelle. Les montants de financement des entreprises ne sont pas des budgets de communication.</x:v>
      </x:c>
      <x:c r="B26" s="25"/>
      <x:c r="C26" s="25"/>
      <x:c r="D26" s="25"/>
      <x:c r="E26" s="25"/>
      <x:c r="F26" s="25"/>
      <x:c r="G26" s="25"/>
      <x:c r="H26" s="25"/>
    </x:row>
    <x:row r="27" ht="24" customHeight="1">
      <x:c r="A27" s="25"/>
      <x:c r="B27" s="25"/>
      <x:c r="C27" s="25"/>
      <x:c r="D27" s="25"/>
      <x:c r="E27" s="25"/>
      <x:c r="F27" s="25"/>
      <x:c r="G27" s="25"/>
      <x:c r="H27" s="25"/>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sheetData>
  <x:mergeCells>
    <x:mergeCell ref="A1:H2"/>
    <x:mergeCell ref="A3:H3"/>
    <x:mergeCell ref="A5:B5"/>
    <x:mergeCell ref="D5:E5"/>
    <x:mergeCell ref="G5:H5"/>
    <x:mergeCell ref="A6:B7"/>
    <x:mergeCell ref="D6:E7"/>
    <x:mergeCell ref="G6:H7"/>
    <x:mergeCell ref="A9:H9"/>
    <x:mergeCell ref="A10:H11"/>
    <x:mergeCell ref="A12:H12"/>
    <x:mergeCell ref="A13:H14"/>
    <x:mergeCell ref="A15:H15"/>
    <x:mergeCell ref="A16:H17"/>
    <x:mergeCell ref="A18:H18"/>
    <x:mergeCell ref="A19:H20"/>
    <x:mergeCell ref="A21:H21"/>
    <x:mergeCell ref="A22:H24"/>
    <x:mergeCell ref="A25:H25"/>
    <x:mergeCell ref="A26:H27"/>
  </x:mergeCells>
  <x:pageMargins left="0.7" right="0.7" top="0.75" bottom="0.75" header="0.3" footer="0.3"/>
</x:worksheet>
</file>

<file path=xl/worksheets/sheet2.xml><?xml version="1.0" encoding="utf-8"?>
<x:worksheet xmlns:x="http://schemas.openxmlformats.org/spreadsheetml/2006/main">
  <x:sheetFormatPr defaultRowHeight="15"/>
  <x:cols>
    <x:col min="1" max="1" width="5" hidden="0" customWidth="1"/>
    <x:col min="2" max="2" width="25" hidden="0" customWidth="1"/>
    <x:col min="3" max="3" width="23" hidden="0" customWidth="1"/>
    <x:col min="4" max="4" width="23" hidden="0" customWidth="1"/>
    <x:col min="5" max="5" width="39" hidden="0" customWidth="1"/>
    <x:col min="6" max="6" width="40" hidden="0" customWidth="1"/>
    <x:col min="7" max="7" width="40" hidden="0" customWidth="1"/>
    <x:col min="8" max="8" width="38" hidden="0" customWidth="1"/>
    <x:col min="9" max="9" width="40" hidden="0" customWidth="1"/>
    <x:col min="10" max="10" width="40" hidden="0" customWidth="1"/>
    <x:col min="11" max="11" width="40" hidden="0" customWidth="1"/>
    <x:col min="12" max="12" width="40" hidden="0" customWidth="1"/>
  </x:cols>
  <x:sheetData>
    <x:row r="1">
      <x:c r="A1" s="30" t="str">
        <x:v>15 entreprises | Faits, limites et décision</x:v>
      </x:c>
      <x:c r="B1" s="30"/>
      <x:c r="C1" s="30"/>
      <x:c r="D1" s="30"/>
      <x:c r="E1" s="30"/>
      <x:c r="F1" s="30"/>
      <x:c r="G1" s="30"/>
      <x:c r="H1" s="30"/>
      <x:c r="I1" s="30"/>
      <x:c r="J1" s="30"/>
      <x:c r="K1" s="30"/>
      <x:c r="L1" s="30"/>
    </x:row>
    <x:row r="2">
      <x:c r="A2" s="30"/>
      <x:c r="B2" s="30"/>
      <x:c r="C2" s="30"/>
      <x:c r="D2" s="30"/>
      <x:c r="E2" s="30"/>
      <x:c r="F2" s="30"/>
      <x:c r="G2" s="30"/>
      <x:c r="H2" s="30"/>
      <x:c r="I2" s="30"/>
      <x:c r="J2" s="30"/>
      <x:c r="K2" s="30"/>
      <x:c r="L2" s="30"/>
    </x:row>
    <x:row r="3" ht="23" customHeight="1">
      <x:c r="A3" s="9" t="str">
        <x:v>Consultation : 13/09/2026. « Non prioritaire » ne signifie pas absence de besoin : aucun motif suffisant n'a été établi dans ce tri.</x:v>
      </x:c>
      <x:c r="B3" s="9"/>
      <x:c r="C3" s="9"/>
      <x:c r="D3" s="9"/>
      <x:c r="E3" s="9"/>
      <x:c r="F3" s="9"/>
      <x:c r="G3" s="9"/>
      <x:c r="H3" s="9"/>
      <x:c r="I3" s="9"/>
      <x:c r="J3" s="9"/>
      <x:c r="K3" s="9"/>
      <x:c r="L3" s="9"/>
    </x:row>
    <x:row r="5" ht="36" customHeight="1">
      <x:c r="A5" s="40" t="str">
        <x:v>N°</x:v>
      </x:c>
      <x:c r="B5" s="40" t="str">
        <x:v>Entreprise</x:v>
      </x:c>
      <x:c r="C5" s="40" t="str">
        <x:v>Commune</x:v>
      </x:c>
      <x:c r="D5" s="40" t="str">
        <x:v>Décision</x:v>
      </x:c>
      <x:c r="E5" s="40" t="str">
        <x:v>Signal et date de publication</x:v>
      </x:c>
      <x:c r="F5" s="40" t="str">
        <x:v>Constat documentaire sur le site</x:v>
      </x:c>
      <x:c r="G5" s="40" t="str">
        <x:v>Frein et inconnues</x:v>
      </x:c>
      <x:c r="H5" s="40" t="str">
        <x:v>Prestataire / refonte</x:v>
      </x:c>
      <x:c r="I5" s="40" t="str">
        <x:v>Prochaine action</x:v>
      </x:c>
      <x:c r="J5" s="40" t="str">
        <x:v>Source de l'événement</x:v>
      </x:c>
      <x:c r="K5" s="40" t="str">
        <x:v>Site consulté / officiel</x:v>
      </x:c>
      <x:c r="L5" s="40" t="str">
        <x:v>Source complémentaire</x:v>
      </x:c>
    </x:row>
    <x:row r="6" ht="110" customHeight="1">
      <x:c r="A6" s="43" t="n">
        <x:v>1</x:v>
      </x:c>
      <x:c r="B6" s="43" t="str">
        <x:v>Résidence L'Yon d'Or</x:v>
      </x:c>
      <x:c r="C6" s="43" t="str">
        <x:v>La Roche-sur-Yon</x:v>
      </x:c>
      <x:c r="D6" s="43" t="str">
        <x:v>Échange exploratoire</x:v>
      </x:c>
      <x:c r="E6" s="43" t="str">
        <x:v>Reprise par Thomas You présentée le 14/05/2025.</x:v>
      </x:c>
      <x:c r="F6" s="43" t="str">
        <x:v>L'accueil consulté met encore en avant le retour des sorties après les restrictions Covid.</x:v>
      </x:c>
      <x:c r="G6" s="43" t="str">
        <x:v>Signal de reprise vieux de 16 mois. Une mise à jour peut suffire. Budget, contrat et intention inconnus.</x:v>
      </x:c>
      <x:c r="H6" s="43" t="str">
        <x:v>Site principal : non confirmé. Une seconde vitrine Solocal existe. Dernière refonte : inconnue.</x:v>
      </x:c>
      <x:c r="I6" s="43" t="str">
        <x:v>Demander si la présentation en ligne et les demandes de visites font partie des priorités depuis la reprise. Aucune maquette à ce stade.</x:v>
      </x:c>
      <x:c r="J6" s="45" t="str">
        <x:v>https://www.reseau-entreprendre.org/vendee/2025/05/14/lyon-dor-reprise-thomas-you/</x:v>
      </x:c>
      <x:c r="K6" s="45" t="str">
        <x:v>https://www.residence-services-lyondor.com/</x:v>
      </x:c>
      <x:c r="L6" s="45" t="str">
        <x:v>https://sarlgestyondor.site-solocal.com/</x:v>
      </x:c>
    </x:row>
    <x:row r="7" ht="110" customHeight="1">
      <x:c r="A7" s="35" t="n">
        <x:v>2</x:v>
      </x:c>
      <x:c r="B7" s="35" t="str">
        <x:v>7etB / activité 7etT</x:v>
      </x:c>
      <x:c r="C7" s="35" t="str">
        <x:v>Aizenay</x:v>
      </x:c>
      <x:c r="D7" s="35" t="str">
        <x:v>Non prioritaire</x:v>
      </x:c>
      <x:c r="E7" s="35" t="str">
        <x:v>Diversification avec 7etT après reprise de l'activité Honyx ; publication du 03/10/2025.</x:v>
      </x:c>
      <x:c r="F7" s="35" t="str">
        <x:v>7etB renvoie déjà vers 7etT. L'entreprise annonce la mise en ligne du site 7etT avec Com d'Artisans.</x:v>
      </x:c>
      <x:c r="G7" s="35" t="str">
        <x:v>Le besoin lié à la nouvelle activité a déjà été traité. Date exacte de publication LinkedIn non établie.</x:v>
      </x:c>
      <x:c r="H7" s="35" t="str">
        <x:v>7etT : Com d'Artisans, identifié dans l'annonce de lancement. Montant payé inconnu.</x:v>
      </x:c>
      <x:c r="I7" s="35" t="str">
        <x:v>Ne pas proposer de refaire le site de la nouvelle activité.</x:v>
      </x:c>
      <x:c r="J7" s="46" t="str">
        <x:v>https://www.reseau-entreprendre.org/vendee/2025/10/03/7etb-croissance-fabien-blanchot-nicolas-gillaizeau-sandrine-sorin/</x:v>
      </x:c>
      <x:c r="K7" s="46" t="str">
        <x:v>https://www.7etb.fr/</x:v>
      </x:c>
      <x:c r="L7" s="46" t="str">
        <x:v>https://fr.linkedin.com/company/7etb</x:v>
      </x:c>
    </x:row>
    <x:row r="8" ht="110" customHeight="1">
      <x:c r="A8" s="43" t="n">
        <x:v>3</x:v>
      </x:c>
      <x:c r="B8" s="43" t="str">
        <x:v>ATS Portails</x:v>
      </x:c>
      <x:c r="C8" s="43" t="str">
        <x:v>Talmont-Saint-Hilaire</x:v>
      </x:c>
      <x:c r="D8" s="43" t="str">
        <x:v>Non prioritaire</x:v>
      </x:c>
      <x:c r="E8" s="43" t="str">
        <x:v>Reprise par Matthieu Dronneau présentée le 10/12/2025.</x:v>
      </x:c>
      <x:c r="F8" s="43" t="str">
        <x:v>Prestations détaillées, réalisations, showroom, dépannage et accès « Configurez votre projet » déjà présents.</x:v>
      </x:c>
      <x:c r="G8" s="43" t="str">
        <x:v>La reprise seule ne justifie pas une refonte. Fonctionnement du configurateur non testé.</x:v>
      </x:c>
      <x:c r="H8" s="43" t="str">
        <x:v>Le Coin du Digital crédité en pied de page. Dernière refonte : inconnue.</x:v>
      </x:c>
      <x:c r="I8" s="43" t="str">
        <x:v>Écarter du lot refonte tant qu'aucune insatisfaction n'est exprimée.</x:v>
      </x:c>
      <x:c r="J8" s="45" t="str">
        <x:v>https://www.reseau-entreprendre.org/vendee/2025/12/10/ats-reprise-matthieu-dronneau/</x:v>
      </x:c>
      <x:c r="K8" s="45" t="str">
        <x:v>https://ats-portails.fr/</x:v>
      </x:c>
      <x:c r="L8" s="45" t="str"/>
    </x:row>
    <x:row r="9" ht="110" customHeight="1">
      <x:c r="A9" s="35" t="n">
        <x:v>4</x:v>
      </x:c>
      <x:c r="B9" s="35" t="str">
        <x:v>Espace Alu</x:v>
      </x:c>
      <x:c r="C9" s="35" t="str">
        <x:v>Saint-Hilaire-de-Riez</x:v>
      </x:c>
      <x:c r="D9" s="35" t="str">
        <x:v>Non prioritaire</x:v>
      </x:c>
      <x:c r="E9" s="35" t="str">
        <x:v>Reprise par Cyrille Poireaud présentée le 18/12/2025 ; développement commercial évoqué.</x:v>
      </x:c>
      <x:c r="F9" s="35" t="str">
        <x:v>Fabrication, pose, showroom, produits, réalisations et demandes d'étude sont déjà présentés.</x:v>
      </x:c>
      <x:c r="G9" s="35" t="str">
        <x:v>Pas de décalage manifeste entre l'offre décrite et le site au premier examen documentaire.</x:v>
      </x:c>
      <x:c r="H9" s="35" t="str">
        <x:v>Espace Technologie crédité en pied de page. Dernière refonte : inconnue.</x:v>
      </x:c>
      <x:c r="I9" s="35" t="str">
        <x:v>Pas de maquette sans besoin exprimé.</x:v>
      </x:c>
      <x:c r="J9" s="46" t="str">
        <x:v>https://www.reseau-entreprendre.org/vendee/2025/12/18/espace-alu-reprise-cyrille-poireaud/</x:v>
      </x:c>
      <x:c r="K9" s="46" t="str">
        <x:v>https://www.espace-alu-85.fr/</x:v>
      </x:c>
      <x:c r="L9" s="46" t="str"/>
    </x:row>
    <x:row r="10" ht="110" customHeight="1">
      <x:c r="A10" s="43" t="n">
        <x:v>5</x:v>
      </x:c>
      <x:c r="B10" s="43" t="str">
        <x:v>ARJOMECA</x:v>
      </x:c>
      <x:c r="C10" s="43" t="str">
        <x:v>La Roche-sur-Yon</x:v>
      </x:c>
      <x:c r="D10" s="43" t="str">
        <x:v>Non prioritaire</x:v>
      </x:c>
      <x:c r="E10" s="43" t="str">
        <x:v>Reprise par Magali et Mickaël Fetiveau présentée le 16/02/2026.</x:v>
      </x:c>
      <x:c r="F10" s="43" t="str">
        <x:v>Les activités de mécanique, moteurs, pompes et récupération d'eau sont distinguées sur le site.</x:v>
      </x:c>
      <x:c r="G10" s="43" t="str">
        <x:v>Pas de besoin de refonte établi. L'ancien directeur de publication reste cité : point à vérifier, pas motif suffisant.</x:v>
      </x:c>
      <x:c r="H10" s="43" t="str">
        <x:v>UP2TECH identifié dans les mentions légales. Dernière refonte : inconnue.</x:v>
      </x:c>
      <x:c r="I10" s="43" t="str">
        <x:v>Une actualisation ciblée serait à envisager avant une refonte complète.</x:v>
      </x:c>
      <x:c r="J10" s="45" t="str">
        <x:v>https://www.reseau-entreprendre.org/vendee/2026/02/16/arjomeca-reprise-magali-et-mickael-fetiveau/</x:v>
      </x:c>
      <x:c r="K10" s="45" t="str">
        <x:v>https://arjomeca.com/</x:v>
      </x:c>
      <x:c r="L10" s="45" t="str">
        <x:v>https://arjomeca.com/mentions-legales/</x:v>
      </x:c>
    </x:row>
    <x:row r="11" ht="110" customHeight="1">
      <x:c r="A11" s="35" t="n">
        <x:v>6</x:v>
      </x:c>
      <x:c r="B11" s="35" t="str">
        <x:v>Voilerie Tarot</x:v>
      </x:c>
      <x:c r="C11" s="35" t="str">
        <x:v>Les Sables-d'Olonne</x:v>
      </x:c>
      <x:c r="D11" s="35" t="str">
        <x:v>Non prioritaire</x:v>
      </x:c>
      <x:c r="E11" s="35" t="str">
        <x:v>Accompagnement croissance de Victor Pilsudski présenté le 06/07/2026.</x:v>
      </x:c>
      <x:c r="F11" s="35" t="str">
        <x:v>Gammes de voiles, services, sellerie et formulaire de devis adapté au bateau et à l'usage déjà présents.</x:v>
      </x:c>
      <x:c r="G11" s="35" t="str">
        <x:v>Croissance ne signifie pas difficulté de communication en ligne. Pas de défaut commercial majeur établi.</x:v>
      </x:c>
      <x:c r="H11" s="35" t="str">
        <x:v>Guillaume Delalande crédité sur le site. Dernière refonte : inconnue.</x:v>
      </x:c>
      <x:c r="I11" s="35" t="str">
        <x:v>Ne pas solliciter pour une refonte sur ce seul signal.</x:v>
      </x:c>
      <x:c r="J11" s="46" t="str">
        <x:v>https://www.reseau-entreprendre.org/vendee/2026/07/06/voilerie-tarot-croissance-victor-pilsudski/</x:v>
      </x:c>
      <x:c r="K11" s="46" t="str">
        <x:v>https://www.voilerie-tarot.fr/</x:v>
      </x:c>
      <x:c r="L11" s="46" t="str"/>
    </x:row>
    <x:row r="12" ht="110" customHeight="1">
      <x:c r="A12" s="43" t="n">
        <x:v>7</x:v>
      </x:c>
      <x:c r="B12" s="43" t="str">
        <x:v>SAPE Atlantique</x:v>
      </x:c>
      <x:c r="C12" s="43" t="str">
        <x:v>La Roche-sur-Yon</x:v>
      </x:c>
      <x:c r="D12" s="43" t="str">
        <x:v>Non prioritaire</x:v>
      </x:c>
      <x:c r="E12" s="43" t="str">
        <x:v>Accompagnement croissance de Cyrille Tesson présenté le 06/07/2026.</x:v>
      </x:c>
      <x:c r="F12" s="43" t="str">
        <x:v>Parcours par besoin, chantiers avant/après, demandes de devis et recrutement déjà présentés.</x:v>
      </x:c>
      <x:c r="G12" s="43" t="str">
        <x:v>Le contenu public ne fournit pas de raison forte de refaire le site.</x:v>
      </x:c>
      <x:c r="H12" s="43" t="str">
        <x:v>Prestataire et dernière refonte : non établis dans ce premier tri.</x:v>
      </x:c>
      <x:c r="I12" s="43" t="str">
        <x:v>Écarter des priorités de refonte.</x:v>
      </x:c>
      <x:c r="J12" s="45" t="str">
        <x:v>https://www.reseau-entreprendre.org/vendee/2026/07/06/sape-atlantique-croissance-cyrille-tesson/</x:v>
      </x:c>
      <x:c r="K12" s="45" t="str">
        <x:v>https://www.sapeatlantique.com/</x:v>
      </x:c>
      <x:c r="L12" s="45" t="str"/>
    </x:row>
    <x:row r="13" ht="110" customHeight="1">
      <x:c r="A13" s="35" t="n">
        <x:v>8</x:v>
      </x:c>
      <x:c r="B13" s="35" t="str">
        <x:v>Nov'Isol</x:v>
      </x:c>
      <x:c r="C13" s="35" t="str">
        <x:v>Saint-Gilles-Croix-de-Vie</x:v>
      </x:c>
      <x:c r="D13" s="35" t="str">
        <x:v>Non prioritaire</x:v>
      </x:c>
      <x:c r="E13" s="35" t="str">
        <x:v>Déménagement annoncé pour janvier 2026 ; publi-information du 30/01/2026.</x:v>
      </x:c>
      <x:c r="F13" s="35" t="str">
        <x:v>La page contact donne déjà la nouvelle adresse : 25 quai Garcie Ferrande.</x:v>
      </x:c>
      <x:c r="G13" s="35" t="str">
        <x:v>Le déménagement est déjà pris en compte. Des mentions légales à actualiser ne justifient pas de tout refaire.</x:v>
      </x:c>
      <x:c r="H13" s="35" t="str">
        <x:v>Owmel cité dans les mentions légales. Dernière refonte : inconnue.</x:v>
      </x:c>
      <x:c r="I13" s="35" t="str">
        <x:v>Ne pas utiliser le déménagement comme argument de refonte.</x:v>
      </x:c>
      <x:c r="J13" s="46" t="str">
        <x:v>https://www.ouest-france.fr/publi-info/nov-isol-5-ans-d-innovation-et-un-nouvelle-adresse-a-saint-gilles-croix-de-vie-956</x:v>
      </x:c>
      <x:c r="K13" s="46" t="str">
        <x:v>https://novisol.fr/contact/</x:v>
      </x:c>
      <x:c r="L13" s="46" t="str">
        <x:v>https://novisol.fr/mentions-legales/</x:v>
      </x:c>
    </x:row>
    <x:row r="14" ht="110" customHeight="1">
      <x:c r="A14" s="43" t="n">
        <x:v>9</x:v>
      </x:c>
      <x:c r="B14" s="43" t="str">
        <x:v>La Centrale du Bocal</x:v>
      </x:c>
      <x:c r="C14" s="43" t="str">
        <x:v>Le Poiré-sur-Vie</x:v>
      </x:c>
      <x:c r="D14" s="43" t="str">
        <x:v>Non prioritaire</x:v>
      </x:c>
      <x:c r="E14" s="43" t="str">
        <x:v>Accompagnement croissance de Floriane Gouraud présenté le 17/07/2025.</x:v>
      </x:c>
      <x:c r="F14" s="43" t="str">
        <x:v>Le site décrit les gammes, l'équipe, les clients professionnels et les coordonnées commerciales.</x:v>
      </x:c>
      <x:c r="G14" s="43" t="str">
        <x:v>Une volonté de croissance existe, mais aucun blocage du site n'est établi.</x:v>
      </x:c>
      <x:c r="H14" s="43" t="str">
        <x:v>Développement : diabloedesign ; graphisme : La Freelancerie. Dernière refonte : inconnue.</x:v>
      </x:c>
      <x:c r="I14" s="43" t="str">
        <x:v>Ne pas convertir arbitrairement un projet de croissance en besoin de refonte.</x:v>
      </x:c>
      <x:c r="J14" s="45" t="str">
        <x:v>https://www.reseau-entreprendre.org/vendee/2025/07/17/la-centrale-du-bocal-croissance-floriane-gouraud/</x:v>
      </x:c>
      <x:c r="K14" s="45" t="str">
        <x:v>https://www.lacentraledubocal.fr/</x:v>
      </x:c>
      <x:c r="L14" s="45" t="str">
        <x:v>https://www.lacentraledubocal.fr/mentions-legales.html</x:v>
      </x:c>
    </x:row>
    <x:row r="15" ht="110" customHeight="1">
      <x:c r="A15" s="35" t="n">
        <x:v>10</x:v>
      </x:c>
      <x:c r="B15" s="35" t="str">
        <x:v>Menuiserie Alain Guilbeau</x:v>
      </x:c>
      <x:c r="C15" s="35" t="str">
        <x:v>Grand'Landes</x:v>
      </x:c>
      <x:c r="D15" s="35" t="str">
        <x:v>Non prioritaire</x:v>
      </x:c>
      <x:c r="E15" s="35" t="str">
        <x:v>Reprise par Mélanie Ronan présentée le 11/03/2025.</x:v>
      </x:c>
      <x:c r="F15" s="35" t="str">
        <x:v>Prestations classées, réalisations par métier, devis et horaires présents.</x:v>
      </x:c>
      <x:c r="G15" s="35" t="str">
        <x:v>Le maintien du nom historique ne prouve pas un problème. Distance exacte depuis Vairé non calculée.</x:v>
      </x:c>
      <x:c r="H15" s="35" t="str">
        <x:v>Prestataire et dernière refonte : non confirmés.</x:v>
      </x:c>
      <x:c r="I15" s="35" t="str">
        <x:v>Ne pas prospecter sur la seule reprise ou sur le nom historique.</x:v>
      </x:c>
      <x:c r="J15" s="46" t="str">
        <x:v>https://www.reseau-entreprendre.org/vendee/2025/03/11/menuiserie-guilbeau-reprise-melanie-ronan/</x:v>
      </x:c>
      <x:c r="K15" s="46" t="str">
        <x:v>https://www.menuiserie-guilbeau.fr/</x:v>
      </x:c>
      <x:c r="L15" s="46" t="str"/>
    </x:row>
    <x:row r="16" ht="110" customHeight="1">
      <x:c r="A16" s="43" t="n">
        <x:v>11</x:v>
      </x:c>
      <x:c r="B16" s="43" t="str">
        <x:v>Atelier des Cuisines</x:v>
      </x:c>
      <x:c r="C16" s="43" t="str">
        <x:v>Brétignolles-sur-Mer</x:v>
      </x:c>
      <x:c r="D16" s="43" t="str">
        <x:v>Non prioritaire</x:v>
      </x:c>
      <x:c r="E16" s="43" t="str">
        <x:v>Pas de changement récent suffisamment établi dans la recherche effectuée.</x:v>
      </x:c>
      <x:c r="F16" s="43" t="str">
        <x:v>Showroom de 110 m², activités, étapes du projet et témoignage daté de mai 2026 présentés.</x:v>
      </x:c>
      <x:c r="G16" s="43" t="str">
        <x:v>Dates d'articles et copyright ne permettent pas de dater une refonte. Pas de déclencheur commercial identifié.</x:v>
      </x:c>
      <x:c r="H16" s="43" t="str">
        <x:v>Des Clics Et Vous crédité en pied de page. Dernière refonte : inconnue.</x:v>
      </x:c>
      <x:c r="I16" s="43" t="str">
        <x:v>Pas de maquette ni d'argument de site abandonné.</x:v>
      </x:c>
      <x:c r="J16" s="45" t="str"/>
      <x:c r="K16" s="45" t="str">
        <x:v>https://www.atelierdescuisines.fr/</x:v>
      </x:c>
      <x:c r="L16" s="45" t="str"/>
    </x:row>
    <x:row r="17" ht="110" customHeight="1">
      <x:c r="A17" s="35" t="n">
        <x:v>12</x:v>
      </x:c>
      <x:c r="B17" s="35" t="str">
        <x:v>La Cuisinerie</x:v>
      </x:c>
      <x:c r="C17" s="35" t="str">
        <x:v>Saint-Gilles-Croix-de-Vie</x:v>
      </x:c>
      <x:c r="D17" s="35" t="str">
        <x:v>Non prioritaire</x:v>
      </x:c>
      <x:c r="E17" s="35" t="str">
        <x:v>Pas de changement récent suffisamment établi dans la recherche effectuée.</x:v>
      </x:c>
      <x:c r="F17" s="35" t="str">
        <x:v>Produits, showroom, conception 3D, étapes du projet et réalisations sont déjà présentés.</x:v>
      </x:c>
      <x:c r="G17" s="35" t="str">
        <x:v>Aucun motif d'achat actuel identifié. Les améliorations possibles ne suffisent pas.</x:v>
      </x:c>
      <x:c r="H17" s="35" t="str">
        <x:v>Saycom crédité en pied de page. Dernière refonte : inconnue.</x:v>
      </x:c>
      <x:c r="I17" s="35" t="str">
        <x:v>Écarter du premier lot refonte.</x:v>
      </x:c>
      <x:c r="J17" s="46" t="str"/>
      <x:c r="K17" s="46" t="str">
        <x:v>https://www.lacuisinerie.fr/</x:v>
      </x:c>
      <x:c r="L17" s="46" t="str"/>
    </x:row>
    <x:row r="18" ht="110" customHeight="1">
      <x:c r="A18" s="43" t="n">
        <x:v>13</x:v>
      </x:c>
      <x:c r="B18" s="43" t="str">
        <x:v>AMC Habitat</x:v>
      </x:c>
      <x:c r="C18" s="43" t="str">
        <x:v>Les Sables-d'Olonne</x:v>
      </x:c>
      <x:c r="D18" s="43" t="str">
        <x:v>Non prioritaire</x:v>
      </x:c>
      <x:c r="E18" s="43" t="str">
        <x:v>Pas de changement récent suffisamment établi dans la recherche effectuée.</x:v>
      </x:c>
      <x:c r="F18" s="43" t="str">
        <x:v>Agencement intérieur, aménagement extérieur, contacts et accès à un devis présents.</x:v>
      </x:c>
      <x:c r="G18" s="43" t="str">
        <x:v>Pas de décalage d'activité documenté ni de demande de changement connue.</x:v>
      </x:c>
      <x:c r="H18" s="43" t="str">
        <x:v>Prestataire et dernière refonte : non établis.</x:v>
      </x:c>
      <x:c r="I18" s="43" t="str">
        <x:v>Ne pas présenter comme cible prioritaire sans élément nouveau.</x:v>
      </x:c>
      <x:c r="J18" s="45" t="str"/>
      <x:c r="K18" s="45" t="str">
        <x:v>https://www.amc-habitat.fr/</x:v>
      </x:c>
      <x:c r="L18" s="45" t="str"/>
    </x:row>
    <x:row r="19" ht="110" customHeight="1">
      <x:c r="A19" s="35" t="n">
        <x:v>14</x:v>
      </x:c>
      <x:c r="B19" s="35" t="str">
        <x:v>SARL Arnaud Dominique</x:v>
      </x:c>
      <x:c r="C19" s="35" t="str">
        <x:v>Les Sables-d'Olonne</x:v>
      </x:c>
      <x:c r="D19" s="35" t="str">
        <x:v>Non prioritaire</x:v>
      </x:c>
      <x:c r="E19" s="35" t="str">
        <x:v>Pas de changement récent suffisamment établi dans la recherche effectuée.</x:v>
      </x:c>
      <x:c r="F19" s="35" t="str">
        <x:v>Métiers, photos, contact et lien vers un showroom virtuel Artipôle présents.</x:v>
      </x:c>
      <x:c r="G19" s="35" t="str">
        <x:v>Un éventuel détail de mise en page n'est pas un motif de refonte. Pas d'audit visuel effectué.</x:v>
      </x:c>
      <x:c r="H19" s="35" t="str">
        <x:v>Agence SayCom créditée en pied de page. Dernière refonte : inconnue.</x:v>
      </x:c>
      <x:c r="I19" s="35" t="str">
        <x:v>Écarter du premier lot refonte.</x:v>
      </x:c>
      <x:c r="J19" s="46" t="str"/>
      <x:c r="K19" s="46" t="str">
        <x:v>https://www.arnaud-dominique.fr/</x:v>
      </x:c>
      <x:c r="L19" s="46" t="str"/>
    </x:row>
    <x:row r="20" ht="110" customHeight="1">
      <x:c r="A20" s="43" t="n">
        <x:v>15</x:v>
      </x:c>
      <x:c r="B20" s="43" t="str">
        <x:v>Le Temps du Savon</x:v>
      </x:c>
      <x:c r="C20" s="43" t="str">
        <x:v>Les Achards</x:v>
      </x:c>
      <x:c r="D20" s="43" t="str">
        <x:v>Non prioritaire</x:v>
      </x:c>
      <x:c r="E20" s="43" t="str">
        <x:v>Le déménagement trouvé date de septembre 2022, pas de 2026.</x:v>
      </x:c>
      <x:c r="F20" s="43" t="str">
        <x:v>L'office de tourisme présente l'atelier actuel, les horaires et un lien vers le site officiel.</x:v>
      </x:c>
      <x:c r="G20" s="43" t="str">
        <x:v>Pas de déclencheur récent établi. Site direct non exploitable dans cet environnement, aucune panne déduite.</x:v>
      </x:c>
      <x:c r="H20" s="43" t="str">
        <x:v>Prestataire et dernière refonte : non établis.</x:v>
      </x:c>
      <x:c r="I20" s="43" t="str">
        <x:v>Ne pas retenir sur un déménagement vieux de quatre ans.</x:v>
      </x:c>
      <x:c r="J20" s="45" t="str">
        <x:v>https://www.achards-tourisme.com/producteurs-artisans/le-temps-du-savon/</x:v>
      </x:c>
      <x:c r="K20" s="45" t="str">
        <x:v>https://letempsdusavon.fr/</x:v>
      </x:c>
      <x:c r="L20" s="45" t="str"/>
    </x:row>
  </x:sheetData>
  <x:mergeCells>
    <x:mergeCell ref="A1:L2"/>
    <x:mergeCell ref="A3:L3"/>
  </x:mergeCells>
  <x:conditionalFormatting sqref="D6:D20">
    <x:cfRule type="expression" dxfId="0" priority="1">
      <x:formula>$D6="Échange exploratoire"</x:formula>
    </x:cfRule>
  </x:conditionalFormatting>
  <x:dataValidations count="1">
    <x:dataValidation type="list" sqref="D6:D20">
      <x:formula1>"Échange exploratoire,Non prioritaire,Besoin confirmé,À revoir"</x:formula1>
    </x:dataValidation>
  </x:dataValidations>
  <x:pageMargins left="0.7" right="0.7" top="0.75" bottom="0.75" header="0.3" footer="0.3"/>
  <x:tableParts count="1">
    <x:tablePart xmlns:r="http://schemas.openxmlformats.org/officeDocument/2006/relationships" r:id="R5c6d761ae38f46fa"/>
  </x:tableParts>
</x:worksheet>
</file>